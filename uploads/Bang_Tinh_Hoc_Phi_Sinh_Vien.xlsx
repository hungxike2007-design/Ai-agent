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nh mục Môn học" sheetId="1" state="visible" r:id="rId1"/>
    <sheet xmlns:r="http://schemas.openxmlformats.org/officeDocument/2006/relationships" name="Bảng Tính Học Ph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F5597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4" max="4"/>
    <col width="20" customWidth="1" min="5" max="5"/>
  </cols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Số Tín chỉ</t>
        </is>
      </c>
      <c r="D1" s="1" t="inlineStr">
        <is>
          <t>Loại Môn</t>
        </is>
      </c>
      <c r="E1" s="1" t="inlineStr">
        <is>
          <t>Đơn giá/Tín chỉ</t>
        </is>
      </c>
    </row>
    <row r="2">
      <c r="A2" t="inlineStr">
        <is>
          <t>IT101</t>
        </is>
      </c>
      <c r="B2" t="inlineStr">
        <is>
          <t>Cấu trúc dữ liệu và Giải thuật</t>
        </is>
      </c>
      <c r="C2" t="n">
        <v>3</v>
      </c>
      <c r="D2" t="inlineStr">
        <is>
          <t>Cơ sở ngành</t>
        </is>
      </c>
      <c r="E2" t="n">
        <v>450000</v>
      </c>
    </row>
    <row r="3">
      <c r="A3" t="inlineStr">
        <is>
          <t>IT102</t>
        </is>
      </c>
      <c r="B3" t="inlineStr">
        <is>
          <t>Cơ sở dữ liệu</t>
        </is>
      </c>
      <c r="C3" t="n">
        <v>3</v>
      </c>
      <c r="D3" t="inlineStr">
        <is>
          <t>Cơ sở ngành</t>
        </is>
      </c>
      <c r="E3" t="n">
        <v>450000</v>
      </c>
    </row>
    <row r="4">
      <c r="A4" t="inlineStr">
        <is>
          <t>IT103</t>
        </is>
      </c>
      <c r="B4" t="inlineStr">
        <is>
          <t>Lập trình hướng đối tượng</t>
        </is>
      </c>
      <c r="C4" t="n">
        <v>4</v>
      </c>
      <c r="D4" t="inlineStr">
        <is>
          <t>Chuyên ngành</t>
        </is>
      </c>
      <c r="E4" t="n">
        <v>520000</v>
      </c>
    </row>
    <row r="5">
      <c r="A5" t="inlineStr">
        <is>
          <t>IT104</t>
        </is>
      </c>
      <c r="B5" t="inlineStr">
        <is>
          <t>Phân tích thiết kế hệ thống</t>
        </is>
      </c>
      <c r="C5" t="n">
        <v>3</v>
      </c>
      <c r="D5" t="inlineStr">
        <is>
          <t>Chuyên ngành</t>
        </is>
      </c>
      <c r="E5" t="n">
        <v>520000</v>
      </c>
    </row>
    <row r="6">
      <c r="A6" t="inlineStr">
        <is>
          <t>GE101</t>
        </is>
      </c>
      <c r="B6" t="inlineStr">
        <is>
          <t>Triết học Mác - Lênin</t>
        </is>
      </c>
      <c r="C6" t="n">
        <v>3</v>
      </c>
      <c r="D6" t="inlineStr">
        <is>
          <t>Đại cương</t>
        </is>
      </c>
      <c r="E6" t="n">
        <v>380000</v>
      </c>
    </row>
    <row r="7">
      <c r="A7" t="inlineStr">
        <is>
          <t>GE102</t>
        </is>
      </c>
      <c r="B7" t="inlineStr">
        <is>
          <t>Tiếng Anh chuyên ngành</t>
        </is>
      </c>
      <c r="C7" t="n">
        <v>2</v>
      </c>
      <c r="D7" t="inlineStr">
        <is>
          <t>Đại cương</t>
        </is>
      </c>
      <c r="E7" t="n">
        <v>380000</v>
      </c>
    </row>
    <row r="8">
      <c r="A8" t="inlineStr">
        <is>
          <t>IT105</t>
        </is>
      </c>
      <c r="B8" t="inlineStr">
        <is>
          <t>Trí tuệ nhân tạo</t>
        </is>
      </c>
      <c r="C8" t="n">
        <v>4</v>
      </c>
      <c r="D8" t="inlineStr">
        <is>
          <t>Chuyên ngành</t>
        </is>
      </c>
      <c r="E8" t="n">
        <v>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5" customWidth="1" min="2" max="2"/>
    <col width="12" customWidth="1" min="3" max="3"/>
    <col width="35" customWidth="1" min="4" max="4"/>
    <col width="12" customWidth="1" min="5" max="5"/>
    <col width="15" customWidth="1" min="6" max="6"/>
    <col width="20" customWidth="1" min="7" max="7"/>
  </cols>
  <sheetData>
    <row r="2">
      <c r="B2" s="2" t="inlineStr">
        <is>
          <t>BẢNG TÍNH CHI TIẾT HỌC PHÍ SINH VIÊN</t>
        </is>
      </c>
    </row>
    <row r="4">
      <c r="B4" s="3" t="inlineStr">
        <is>
          <t>Họ và tên:</t>
        </is>
      </c>
      <c r="C4" t="inlineStr">
        <is>
          <t>Sinh viên mẫu</t>
        </is>
      </c>
    </row>
    <row r="5">
      <c r="B5" s="3" t="inlineStr">
        <is>
          <t>Mã sinh viên:</t>
        </is>
      </c>
      <c r="C5" t="inlineStr">
        <is>
          <t>2024XXXX</t>
        </is>
      </c>
    </row>
    <row r="6">
      <c r="B6" s="3" t="inlineStr">
        <is>
          <t>Học kỳ:</t>
        </is>
      </c>
      <c r="C6" t="inlineStr">
        <is>
          <t>Học kỳ 1 - Năm học 2025-2026</t>
        </is>
      </c>
    </row>
    <row r="8">
      <c r="B8" s="1" t="inlineStr">
        <is>
          <t>STT</t>
        </is>
      </c>
      <c r="C8" s="1" t="inlineStr">
        <is>
          <t>Mã MH</t>
        </is>
      </c>
      <c r="D8" s="1" t="inlineStr">
        <is>
          <t>Tên Môn Học</t>
        </is>
      </c>
      <c r="E8" s="1" t="inlineStr">
        <is>
          <t>Số Tín Chỉ</t>
        </is>
      </c>
      <c r="F8" s="1" t="inlineStr">
        <is>
          <t>Đơn giá / TC</t>
        </is>
      </c>
      <c r="G8" s="1" t="inlineStr">
        <is>
          <t>Thành tiền</t>
        </is>
      </c>
    </row>
    <row r="9">
      <c r="B9" s="4" t="n">
        <v>1</v>
      </c>
      <c r="C9" s="5" t="inlineStr">
        <is>
          <t>IT101</t>
        </is>
      </c>
      <c r="D9" s="5" t="inlineStr">
        <is>
          <t>Cấu trúc dữ liệu và Giải thuật</t>
        </is>
      </c>
      <c r="E9" s="4" t="n">
        <v>3</v>
      </c>
      <c r="F9" s="6" t="n">
        <v>450000</v>
      </c>
      <c r="G9" s="6">
        <f>E9*F9</f>
        <v/>
      </c>
    </row>
    <row r="10">
      <c r="B10" s="4" t="n">
        <v>2</v>
      </c>
      <c r="C10" s="5" t="inlineStr">
        <is>
          <t>IT103</t>
        </is>
      </c>
      <c r="D10" s="5" t="inlineStr">
        <is>
          <t>Lập trình hướng đối tượng</t>
        </is>
      </c>
      <c r="E10" s="4" t="n">
        <v>4</v>
      </c>
      <c r="F10" s="6" t="n">
        <v>520000</v>
      </c>
      <c r="G10" s="6">
        <f>E10*F10</f>
        <v/>
      </c>
    </row>
    <row r="11">
      <c r="B11" s="4" t="n">
        <v>3</v>
      </c>
      <c r="C11" s="5" t="inlineStr">
        <is>
          <t>IT104</t>
        </is>
      </c>
      <c r="D11" s="5" t="inlineStr">
        <is>
          <t>Phân tích thiết kế hệ thống</t>
        </is>
      </c>
      <c r="E11" s="4" t="n">
        <v>3</v>
      </c>
      <c r="F11" s="6" t="n">
        <v>520000</v>
      </c>
      <c r="G11" s="6">
        <f>E11*F11</f>
        <v/>
      </c>
    </row>
    <row r="12">
      <c r="B12" s="4" t="n">
        <v>4</v>
      </c>
      <c r="C12" s="5" t="inlineStr">
        <is>
          <t>GE102</t>
        </is>
      </c>
      <c r="D12" s="5" t="inlineStr">
        <is>
          <t>Tiếng Anh chuyên ngành</t>
        </is>
      </c>
      <c r="E12" s="4" t="n">
        <v>2</v>
      </c>
      <c r="F12" s="6" t="n">
        <v>380000</v>
      </c>
      <c r="G12" s="6">
        <f>E12*F12</f>
        <v/>
      </c>
    </row>
    <row r="14">
      <c r="F14" s="7" t="inlineStr">
        <is>
          <t>TỔNG CỘNG:</t>
        </is>
      </c>
      <c r="G14" s="8">
        <f>SUM(G9:G12)</f>
        <v/>
      </c>
    </row>
    <row r="15">
      <c r="F15" s="7" t="inlineStr">
        <is>
          <t>Miễn giảm (nếu có):</t>
        </is>
      </c>
      <c r="G15" s="8" t="n">
        <v>0</v>
      </c>
    </row>
    <row r="16">
      <c r="F16" s="7" t="inlineStr">
        <is>
          <t>SỐ TIỀN PHẢI NỘP:</t>
        </is>
      </c>
      <c r="G16" s="9">
        <f>G14-G15</f>
        <v/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2026-05-04T03:53:46Z</dcterms:created>
  <dcterms:modified xmlns:dcterms="http://purl.org/dc/terms/" xmlns:xsi="http://www.w3.org/2001/XMLSchema-instance" xsi:type="dcterms:W3CDTF">2026-05-04T03:53:46Z</dcterms:modified>
</cp:coreProperties>
</file>